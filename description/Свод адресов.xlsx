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italiy.prihodko\Desktop\"/>
    </mc:Choice>
  </mc:AlternateContent>
  <xr:revisionPtr revIDLastSave="0" documentId="13_ncr:1_{D7A28EA4-C41E-4805-8C42-ED2417284639}" xr6:coauthVersionLast="47" xr6:coauthVersionMax="47" xr10:uidLastSave="{00000000-0000-0000-0000-000000000000}"/>
  <bookViews>
    <workbookView xWindow="28680" yWindow="-3435" windowWidth="51840" windowHeight="21240" xr2:uid="{00000000-000D-0000-FFFF-FFFF00000000}"/>
  </bookViews>
  <sheets>
    <sheet name="Дома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1" l="1"/>
</calcChain>
</file>

<file path=xl/sharedStrings.xml><?xml version="1.0" encoding="utf-8"?>
<sst xmlns="http://schemas.openxmlformats.org/spreadsheetml/2006/main" count="58" uniqueCount="49">
  <si>
    <t>Название</t>
  </si>
  <si>
    <t>-</t>
  </si>
  <si>
    <t>Адрес</t>
  </si>
  <si>
    <t xml:space="preserve">Рождественская </t>
  </si>
  <si>
    <t>Улица</t>
  </si>
  <si>
    <t>Дом</t>
  </si>
  <si>
    <t>Подъезды</t>
  </si>
  <si>
    <t>Квартиры</t>
  </si>
  <si>
    <t xml:space="preserve">Управляющая </t>
  </si>
  <si>
    <t>Год 
постройки</t>
  </si>
  <si>
    <t>ООО 
"ЛюКс Инжинеринг Групп"</t>
  </si>
  <si>
    <t>8-800-737-77-40</t>
  </si>
  <si>
    <t>ЖК</t>
  </si>
  <si>
    <t>Ньютон</t>
  </si>
  <si>
    <t>Кит</t>
  </si>
  <si>
    <t>Новомытищинский
 проспект</t>
  </si>
  <si>
    <t>4а</t>
  </si>
  <si>
    <t>Этажи</t>
  </si>
  <si>
    <t>Воровского</t>
  </si>
  <si>
    <t>№/
Приоритет</t>
  </si>
  <si>
    <t>Мытищи-
Холл</t>
  </si>
  <si>
    <t>Рождественский</t>
  </si>
  <si>
    <t>Комарова</t>
  </si>
  <si>
    <t>2 (к.1,2,3)</t>
  </si>
  <si>
    <t xml:space="preserve">Apart-Hotel 
in Red Whale </t>
  </si>
  <si>
    <t>вл2 ст3</t>
  </si>
  <si>
    <t>​Шараповский проезд</t>
  </si>
  <si>
    <t>ООО "ЖКО "БЕРЕГ"</t>
  </si>
  <si>
    <t>ул. Комарова, д. 1/8
http://gkobereg.ru/</t>
  </si>
  <si>
    <t xml:space="preserve">	ООО "ДЖС - 2030"</t>
  </si>
  <si>
    <t xml:space="preserve">	ООО "КИТ - ЭКСПЛУАТАЦИЯ"</t>
  </si>
  <si>
    <t>ООО 
"Городская управляющая компания
 "ДОМЖИЛСЕРВИС"</t>
  </si>
  <si>
    <t>ООО 
"ТЕХКОМСЕРВИС-
Недвижимость"</t>
  </si>
  <si>
    <t xml:space="preserve"> ул. Силикатная, д. 49, к.5
http://tehkom-s.ru/</t>
  </si>
  <si>
    <t>ул. Колпакова, д.24
ukdgs.com</t>
  </si>
  <si>
    <t>ул. Колпакова, д. 39, пом.4
www.dgs-2030.ru</t>
  </si>
  <si>
    <t>проезд. Шараповский, д.2
uk-kit.ru</t>
  </si>
  <si>
    <t xml:space="preserve">Апартаменты </t>
  </si>
  <si>
    <t>Общая инфа</t>
  </si>
  <si>
    <t>Прием граждан</t>
  </si>
  <si>
    <t>8 (499) 505-50-89
11:00-17:00
Перерыв 
13:00-14:00
ГД Агаева Юлиана Мирназимовна</t>
  </si>
  <si>
    <t>8 (495) 108-41-52
09:00-17:00
Перерыв 
13:00-14:00
ГД Разин Михаил Игоревич</t>
  </si>
  <si>
    <t>8  (495) 582-38-43
09:00-15:45
Перерыв 
13:00-13:30
ГД Михайленко Алексей Александрович</t>
  </si>
  <si>
    <t>8  (495) 095-88-08
09:00-18:00
Перерыв 
13:00-14:00
Рук отдела Тахохова Светлана Борисовна
ГД Глухов Егор Сергеевич</t>
  </si>
  <si>
    <t>8 (495) 151-51-27
09:00-18:00
ГД СЕРЁГИНА НАТАЛЬЯ ЮРЬЕВНА</t>
  </si>
  <si>
    <t>8 (495) 737-77-40
Вт/Пт
09:00-18:00
Перерыв 
13:00-14:00
ГД Яценко Алексей Иванович</t>
  </si>
  <si>
    <t>Количество всего</t>
  </si>
  <si>
    <t>Пешком
(+3 мин доп)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</si>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</sst>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FC2FD138-C8C9-4A3A-808D-BCF8DCF8F4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22FA-3FB2-47CF-A55A-29A92BF87000}">
  <dimension ref="B1:M31"/>
  <sheetViews>
    <sheetView tabSelected="1" zoomScale="115" zoomScaleNormal="115" workbookViewId="0">
      <selection activeCell="F2" sqref="F2:I2"/>
    </sheetView>
  </sheetViews>
  <sheetFormatPr defaultRowHeight="15" x14ac:dyDescent="0.25"/>
  <cols>
    <col min="1" max="1" width="8.28515625" customWidth="1"/>
    <col min="2" max="2" width="12.28515625" customWidth="1"/>
    <col min="3" max="3" width="24.28515625" customWidth="1"/>
    <col min="4" max="4" width="14.42578125" customWidth="1"/>
    <col min="5" max="5" width="17.5703125" customWidth="1"/>
    <col min="6" max="9" width="14.42578125" customWidth="1"/>
    <col min="10" max="11" width="29.140625" customWidth="1"/>
    <col min="12" max="12" width="39.7109375" customWidth="1"/>
    <col min="13" max="13" width="13.5703125" customWidth="1"/>
  </cols>
  <sheetData>
    <row r="1" spans="2:13" ht="28.5" customHeight="1" x14ac:dyDescent="0.25"/>
    <row r="2" spans="2:13" ht="22.5" customHeight="1" x14ac:dyDescent="0.25">
      <c r="B2" s="27" t="s">
        <v>19</v>
      </c>
      <c r="C2" s="24" t="s">
        <v>2</v>
      </c>
      <c r="D2" s="25"/>
      <c r="E2" s="26"/>
      <c r="F2" s="22" t="s">
        <v>46</v>
      </c>
      <c r="G2" s="22"/>
      <c r="H2" s="22"/>
      <c r="I2" s="22"/>
      <c r="J2" s="24" t="s">
        <v>8</v>
      </c>
      <c r="K2" s="25"/>
      <c r="L2" s="26"/>
      <c r="M2" s="23" t="s">
        <v>9</v>
      </c>
    </row>
    <row r="3" spans="2:13" ht="38.25" customHeight="1" x14ac:dyDescent="0.25">
      <c r="B3" s="28"/>
      <c r="C3" s="3" t="s">
        <v>4</v>
      </c>
      <c r="D3" s="3" t="s">
        <v>5</v>
      </c>
      <c r="E3" s="3" t="s">
        <v>12</v>
      </c>
      <c r="F3" s="3" t="s">
        <v>6</v>
      </c>
      <c r="G3" s="3" t="s">
        <v>7</v>
      </c>
      <c r="H3" s="3" t="s">
        <v>17</v>
      </c>
      <c r="I3" s="2" t="s">
        <v>47</v>
      </c>
      <c r="J3" s="3" t="s">
        <v>0</v>
      </c>
      <c r="K3" s="3" t="s">
        <v>38</v>
      </c>
      <c r="L3" s="2" t="s">
        <v>39</v>
      </c>
      <c r="M3" s="22"/>
    </row>
    <row r="4" spans="2:13" s="7" customFormat="1" ht="98.25" customHeight="1" x14ac:dyDescent="0.25">
      <c r="B4" s="5">
        <v>1</v>
      </c>
      <c r="C4" s="9" t="s">
        <v>3</v>
      </c>
      <c r="D4" s="9">
        <v>11</v>
      </c>
      <c r="E4" s="5" t="s">
        <v>13</v>
      </c>
      <c r="F4" s="5">
        <v>10</v>
      </c>
      <c r="G4" s="9">
        <v>992</v>
      </c>
      <c r="H4" s="5">
        <v>26</v>
      </c>
      <c r="I4" s="5">
        <v>6</v>
      </c>
      <c r="J4" s="6" t="s">
        <v>10</v>
      </c>
      <c r="K4" s="5" t="s">
        <v>11</v>
      </c>
      <c r="L4" s="6" t="s">
        <v>45</v>
      </c>
      <c r="M4" s="5">
        <v>2014</v>
      </c>
    </row>
    <row r="5" spans="2:13" s="7" customFormat="1" ht="42.75" customHeight="1" x14ac:dyDescent="0.25">
      <c r="B5" s="5">
        <v>2</v>
      </c>
      <c r="C5" s="9" t="s">
        <v>3</v>
      </c>
      <c r="D5" s="9">
        <v>9</v>
      </c>
      <c r="E5" s="5" t="s">
        <v>1</v>
      </c>
      <c r="F5" s="5">
        <v>3</v>
      </c>
      <c r="G5" s="9">
        <v>217</v>
      </c>
      <c r="H5" s="5">
        <v>19</v>
      </c>
      <c r="I5" s="5">
        <v>4</v>
      </c>
      <c r="J5" s="15" t="s">
        <v>31</v>
      </c>
      <c r="K5" s="15" t="s">
        <v>34</v>
      </c>
      <c r="L5" s="15" t="s">
        <v>41</v>
      </c>
      <c r="M5" s="5">
        <v>2014</v>
      </c>
    </row>
    <row r="6" spans="2:13" s="7" customFormat="1" ht="42.75" customHeight="1" x14ac:dyDescent="0.25">
      <c r="B6" s="5">
        <v>3</v>
      </c>
      <c r="C6" s="9" t="s">
        <v>3</v>
      </c>
      <c r="D6" s="9">
        <v>7</v>
      </c>
      <c r="E6" s="5" t="s">
        <v>1</v>
      </c>
      <c r="F6" s="5">
        <v>8</v>
      </c>
      <c r="G6" s="9">
        <v>495</v>
      </c>
      <c r="H6" s="5">
        <v>15</v>
      </c>
      <c r="I6" s="5">
        <v>6</v>
      </c>
      <c r="J6" s="21"/>
      <c r="K6" s="21"/>
      <c r="L6" s="16"/>
      <c r="M6" s="5">
        <v>2008</v>
      </c>
    </row>
    <row r="7" spans="2:13" s="7" customFormat="1" ht="42" customHeight="1" x14ac:dyDescent="0.25">
      <c r="B7" s="5">
        <v>4</v>
      </c>
      <c r="C7" s="9" t="s">
        <v>3</v>
      </c>
      <c r="D7" s="9">
        <v>5</v>
      </c>
      <c r="E7" s="5" t="s">
        <v>1</v>
      </c>
      <c r="F7" s="5">
        <v>4</v>
      </c>
      <c r="G7" s="9">
        <v>219</v>
      </c>
      <c r="H7" s="5">
        <v>12</v>
      </c>
      <c r="I7" s="5">
        <v>6</v>
      </c>
      <c r="J7" s="15" t="s">
        <v>32</v>
      </c>
      <c r="K7" s="15" t="s">
        <v>33</v>
      </c>
      <c r="L7" s="15" t="s">
        <v>40</v>
      </c>
      <c r="M7" s="5">
        <v>2007</v>
      </c>
    </row>
    <row r="8" spans="2:13" s="7" customFormat="1" ht="42" customHeight="1" x14ac:dyDescent="0.25">
      <c r="B8" s="5">
        <v>5</v>
      </c>
      <c r="C8" s="9" t="s">
        <v>3</v>
      </c>
      <c r="D8" s="9">
        <v>2</v>
      </c>
      <c r="E8" s="5" t="s">
        <v>21</v>
      </c>
      <c r="F8" s="5">
        <v>19</v>
      </c>
      <c r="G8" s="9">
        <v>1311</v>
      </c>
      <c r="H8" s="5">
        <v>18</v>
      </c>
      <c r="I8" s="5">
        <v>8</v>
      </c>
      <c r="J8" s="16"/>
      <c r="K8" s="21"/>
      <c r="L8" s="16"/>
      <c r="M8" s="5">
        <v>2017</v>
      </c>
    </row>
    <row r="9" spans="2:13" s="7" customFormat="1" ht="50.25" customHeight="1" x14ac:dyDescent="0.25">
      <c r="B9" s="5">
        <v>6</v>
      </c>
      <c r="C9" s="9" t="s">
        <v>3</v>
      </c>
      <c r="D9" s="9">
        <v>3</v>
      </c>
      <c r="E9" s="5" t="s">
        <v>1</v>
      </c>
      <c r="F9" s="5">
        <v>1</v>
      </c>
      <c r="G9" s="9">
        <v>133</v>
      </c>
      <c r="H9" s="5">
        <v>23</v>
      </c>
      <c r="I9" s="5">
        <v>8</v>
      </c>
      <c r="J9" s="20" t="s">
        <v>27</v>
      </c>
      <c r="K9" s="15" t="s">
        <v>28</v>
      </c>
      <c r="L9" s="15" t="s">
        <v>42</v>
      </c>
      <c r="M9" s="5">
        <v>2008</v>
      </c>
    </row>
    <row r="10" spans="2:13" ht="50.25" customHeight="1" x14ac:dyDescent="0.25">
      <c r="B10" s="5">
        <v>7</v>
      </c>
      <c r="C10" s="9" t="s">
        <v>22</v>
      </c>
      <c r="D10" s="9" t="s">
        <v>23</v>
      </c>
      <c r="E10" s="1" t="s">
        <v>1</v>
      </c>
      <c r="F10" s="1">
        <v>11</v>
      </c>
      <c r="G10" s="9">
        <v>641</v>
      </c>
      <c r="H10" s="1">
        <v>18</v>
      </c>
      <c r="I10" s="11">
        <v>11</v>
      </c>
      <c r="J10" s="16"/>
      <c r="K10" s="21"/>
      <c r="L10" s="16"/>
      <c r="M10" s="1">
        <v>2007</v>
      </c>
    </row>
    <row r="11" spans="2:13" s="7" customFormat="1" ht="115.5" customHeight="1" x14ac:dyDescent="0.25">
      <c r="B11" s="5">
        <v>8</v>
      </c>
      <c r="C11" s="10" t="s">
        <v>15</v>
      </c>
      <c r="D11" s="9" t="s">
        <v>16</v>
      </c>
      <c r="E11" s="5" t="s">
        <v>14</v>
      </c>
      <c r="F11" s="5">
        <v>7</v>
      </c>
      <c r="G11" s="9">
        <v>1344</v>
      </c>
      <c r="H11" s="5">
        <v>27</v>
      </c>
      <c r="I11" s="5">
        <v>4</v>
      </c>
      <c r="J11" s="6" t="s">
        <v>30</v>
      </c>
      <c r="K11" s="6" t="s">
        <v>36</v>
      </c>
      <c r="L11" s="8" t="s">
        <v>43</v>
      </c>
      <c r="M11" s="5">
        <v>2022</v>
      </c>
    </row>
    <row r="12" spans="2:13" s="7" customFormat="1" ht="47.25" x14ac:dyDescent="0.25">
      <c r="B12" s="5">
        <v>9</v>
      </c>
      <c r="C12" s="9" t="s">
        <v>18</v>
      </c>
      <c r="D12" s="9">
        <v>10</v>
      </c>
      <c r="E12" s="6" t="s">
        <v>20</v>
      </c>
      <c r="F12" s="5">
        <v>2</v>
      </c>
      <c r="G12" s="9">
        <v>414</v>
      </c>
      <c r="H12" s="5">
        <v>25</v>
      </c>
      <c r="I12" s="5">
        <v>7</v>
      </c>
      <c r="J12" s="5" t="s">
        <v>29</v>
      </c>
      <c r="K12" s="6" t="s">
        <v>35</v>
      </c>
      <c r="L12" s="8" t="s">
        <v>44</v>
      </c>
      <c r="M12" s="5">
        <v>2022</v>
      </c>
    </row>
    <row r="13" spans="2:13" ht="39.75" customHeight="1" x14ac:dyDescent="0.25">
      <c r="B13" s="5">
        <v>10</v>
      </c>
      <c r="C13" s="9" t="s">
        <v>26</v>
      </c>
      <c r="D13" s="9" t="s">
        <v>25</v>
      </c>
      <c r="E13" s="4" t="s">
        <v>24</v>
      </c>
      <c r="F13" s="1">
        <v>1</v>
      </c>
      <c r="G13" s="9">
        <v>50</v>
      </c>
      <c r="H13" s="1">
        <v>12</v>
      </c>
      <c r="I13" s="1">
        <v>9</v>
      </c>
      <c r="J13" s="17" t="s">
        <v>37</v>
      </c>
      <c r="K13" s="18"/>
      <c r="L13" s="19"/>
      <c r="M13" s="1">
        <v>2015</v>
      </c>
    </row>
    <row r="14" spans="2:13" ht="39.75" customHeight="1" x14ac:dyDescent="0.25">
      <c r="E14" s="13" t="s">
        <v>48</v>
      </c>
      <c r="F14" s="14"/>
      <c r="G14" s="12">
        <f>SUM(G4:G13)</f>
        <v>5816</v>
      </c>
    </row>
    <row r="15" spans="2:13" ht="29.25" customHeight="1" x14ac:dyDescent="0.25"/>
    <row r="16" spans="2:13" ht="29.25" customHeight="1" x14ac:dyDescent="0.25"/>
    <row r="17" ht="29.25" customHeight="1" x14ac:dyDescent="0.25"/>
    <row r="18" ht="29.25" customHeight="1" x14ac:dyDescent="0.25"/>
    <row r="19" ht="29.25" customHeight="1" x14ac:dyDescent="0.25"/>
    <row r="20" ht="29.25" customHeight="1" x14ac:dyDescent="0.25"/>
    <row r="21" ht="29.25" customHeight="1" x14ac:dyDescent="0.25"/>
    <row r="22" ht="29.25" customHeight="1" x14ac:dyDescent="0.25"/>
    <row r="23" ht="29.25" customHeight="1" x14ac:dyDescent="0.25"/>
    <row r="24" ht="29.25" customHeight="1" x14ac:dyDescent="0.25"/>
    <row r="25" ht="29.25" customHeight="1" x14ac:dyDescent="0.25"/>
    <row r="26" ht="29.25" customHeight="1" x14ac:dyDescent="0.25"/>
    <row r="27" ht="29.25" customHeight="1" x14ac:dyDescent="0.25"/>
    <row r="28" ht="29.25" customHeight="1" x14ac:dyDescent="0.25"/>
    <row r="29" ht="29.25" customHeight="1" x14ac:dyDescent="0.25"/>
    <row r="30" ht="29.25" customHeight="1" x14ac:dyDescent="0.25"/>
    <row r="31" ht="29.25" customHeight="1" x14ac:dyDescent="0.25"/>
  </sheetData>
  <mergeCells count="16">
    <mergeCell ref="F2:I2"/>
    <mergeCell ref="M2:M3"/>
    <mergeCell ref="J2:L2"/>
    <mergeCell ref="C2:E2"/>
    <mergeCell ref="B2:B3"/>
    <mergeCell ref="E14:F14"/>
    <mergeCell ref="L5:L6"/>
    <mergeCell ref="L7:L8"/>
    <mergeCell ref="L9:L10"/>
    <mergeCell ref="J13:L13"/>
    <mergeCell ref="J9:J10"/>
    <mergeCell ref="K9:K10"/>
    <mergeCell ref="J7:J8"/>
    <mergeCell ref="K7:K8"/>
    <mergeCell ref="J5:J6"/>
    <mergeCell ref="K5: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 Приходько</dc:creator>
  <cp:lastModifiedBy>Виталий Приходько</cp:lastModifiedBy>
  <cp:lastPrinted>2025-10-03T06:27:55Z</cp:lastPrinted>
  <dcterms:created xsi:type="dcterms:W3CDTF">2015-06-05T18:19:34Z</dcterms:created>
  <dcterms:modified xsi:type="dcterms:W3CDTF">2026-02-06T10:23:40Z</dcterms:modified>
</cp:coreProperties>
</file>